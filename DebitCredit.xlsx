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us-my.sharepoint.com/personal/altynay_kuchkacheva_ey_com/Documents/Documents/AI-MachineLearning/VS-Code-Project/"/>
    </mc:Choice>
  </mc:AlternateContent>
  <xr:revisionPtr revIDLastSave="413" documentId="8_{FBFA0906-EC8F-45A9-AF83-C21EAD3955F5}" xr6:coauthVersionLast="47" xr6:coauthVersionMax="47" xr10:uidLastSave="{DBE97E0A-BD87-4D1A-9503-8792DE087B28}"/>
  <bookViews>
    <workbookView minimized="1" xWindow="730" yWindow="0" windowWidth="15440" windowHeight="12260" xr2:uid="{5C6A0BAE-75FE-4D14-BAF0-2E18297222B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H43" i="1" s="1"/>
  <c r="E43" i="1"/>
  <c r="G44" i="1"/>
  <c r="H44" i="1" s="1"/>
  <c r="E44" i="1"/>
  <c r="I25" i="1"/>
  <c r="I11" i="1"/>
  <c r="G45" i="1"/>
  <c r="H45" i="1" s="1"/>
  <c r="E45" i="1"/>
  <c r="G47" i="1"/>
  <c r="H47" i="1" s="1"/>
  <c r="E47" i="1"/>
  <c r="G46" i="1"/>
  <c r="H46" i="1" s="1"/>
  <c r="E46" i="1"/>
  <c r="G42" i="1"/>
  <c r="H42" i="1" s="1"/>
  <c r="E42" i="1"/>
  <c r="E35" i="1"/>
  <c r="E34" i="1"/>
  <c r="E33" i="1"/>
  <c r="G3" i="1"/>
  <c r="H3" i="1" s="1"/>
  <c r="E3" i="1"/>
  <c r="H25" i="1"/>
  <c r="G19" i="1"/>
  <c r="H19" i="1" s="1"/>
  <c r="E19" i="1"/>
  <c r="G18" i="1"/>
  <c r="H18" i="1" s="1"/>
  <c r="E18" i="1"/>
  <c r="I18" i="1" s="1"/>
  <c r="G17" i="1"/>
  <c r="H17" i="1" s="1"/>
  <c r="E17" i="1"/>
  <c r="H11" i="1"/>
  <c r="G5" i="1"/>
  <c r="H5" i="1" s="1"/>
  <c r="G4" i="1"/>
  <c r="H4" i="1" s="1"/>
  <c r="E5" i="1"/>
  <c r="E4" i="1"/>
  <c r="I4" i="1" s="1"/>
  <c r="I13" i="1" l="1"/>
  <c r="H7" i="1"/>
  <c r="H13" i="1" s="1"/>
  <c r="I27" i="1"/>
  <c r="E9" i="1"/>
  <c r="E13" i="1" s="1"/>
  <c r="E37" i="1"/>
  <c r="E23" i="1"/>
  <c r="E27" i="1" s="1"/>
  <c r="H21" i="1"/>
  <c r="H27" i="1" s="1"/>
  <c r="E29" i="1" l="1"/>
</calcChain>
</file>

<file path=xl/sharedStrings.xml><?xml version="1.0" encoding="utf-8"?>
<sst xmlns="http://schemas.openxmlformats.org/spreadsheetml/2006/main" count="48" uniqueCount="18">
  <si>
    <t>AMZ</t>
  </si>
  <si>
    <t>TICKER</t>
  </si>
  <si>
    <t>AMOUNT</t>
  </si>
  <si>
    <t>TOTAL:</t>
  </si>
  <si>
    <t>VOO</t>
  </si>
  <si>
    <t>VTI</t>
  </si>
  <si>
    <t>CASH</t>
  </si>
  <si>
    <t>TOTAL</t>
  </si>
  <si>
    <t>WF</t>
  </si>
  <si>
    <t>COST BASIS</t>
  </si>
  <si>
    <t>OVERALL GAIN</t>
  </si>
  <si>
    <t>CAPITAL GAIN PER SHARE</t>
  </si>
  <si>
    <t>MARKET PRICE/PER SHARE</t>
  </si>
  <si>
    <t>LEFTOVER</t>
  </si>
  <si>
    <t>FIDELITY</t>
  </si>
  <si>
    <t>2bed-6 block</t>
  </si>
  <si>
    <t>3bed-7 block</t>
  </si>
  <si>
    <t>2bed- 8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</si>
</sst>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4" fontId="0" fillId="0" borderId="0" xfId="0" applyNumberFormat="1" applyAlignment="1">
      <alignment horizontal="left" vertical="top"/>
    </xf>
    <xf numFmtId="4" fontId="0" fillId="0" borderId="5" xfId="0" applyNumberFormat="1" applyBorder="1" applyAlignment="1">
      <alignment horizontal="left" vertical="top"/>
    </xf>
    <xf numFmtId="4" fontId="0" fillId="0" borderId="10" xfId="0" applyNumberFormat="1" applyBorder="1" applyAlignment="1">
      <alignment horizontal="left" vertical="top"/>
    </xf>
    <xf numFmtId="4" fontId="0" fillId="0" borderId="11" xfId="0" applyNumberFormat="1" applyBorder="1" applyAlignment="1">
      <alignment horizontal="left" vertical="top"/>
    </xf>
    <xf numFmtId="4" fontId="0" fillId="0" borderId="14" xfId="0" applyNumberFormat="1" applyBorder="1" applyAlignment="1">
      <alignment horizontal="left" vertical="top"/>
    </xf>
    <xf numFmtId="4" fontId="0" fillId="0" borderId="15" xfId="0" applyNumberFormat="1" applyBorder="1" applyAlignment="1">
      <alignment horizontal="left" vertical="top"/>
    </xf>
    <xf numFmtId="4" fontId="0" fillId="0" borderId="16" xfId="0" applyNumberFormat="1" applyBorder="1" applyAlignment="1">
      <alignment horizontal="left" vertical="top"/>
    </xf>
    <xf numFmtId="4" fontId="0" fillId="0" borderId="17" xfId="0" applyNumberFormat="1" applyBorder="1" applyAlignment="1">
      <alignment horizontal="left" vertical="top"/>
    </xf>
    <xf numFmtId="4" fontId="0" fillId="0" borderId="19" xfId="0" applyNumberFormat="1" applyBorder="1" applyAlignment="1">
      <alignment horizontal="left" vertical="top"/>
    </xf>
    <xf numFmtId="4" fontId="3" fillId="0" borderId="11" xfId="0" applyNumberFormat="1" applyFont="1" applyBorder="1" applyAlignment="1">
      <alignment horizontal="left" vertical="top"/>
    </xf>
    <xf numFmtId="4" fontId="2" fillId="0" borderId="11" xfId="0" applyNumberFormat="1" applyFont="1" applyBorder="1" applyAlignment="1">
      <alignment horizontal="left" vertical="top"/>
    </xf>
    <xf numFmtId="4" fontId="4" fillId="0" borderId="19" xfId="0" applyNumberFormat="1" applyFont="1" applyBorder="1" applyAlignment="1">
      <alignment horizontal="left" vertical="top"/>
    </xf>
    <xf numFmtId="4" fontId="4" fillId="0" borderId="5" xfId="0" applyNumberFormat="1" applyFont="1" applyBorder="1" applyAlignment="1">
      <alignment horizontal="left" vertical="top"/>
    </xf>
    <xf numFmtId="4" fontId="5" fillId="0" borderId="20" xfId="0" applyNumberFormat="1" applyFont="1" applyBorder="1" applyAlignment="1">
      <alignment horizontal="left" vertical="top"/>
    </xf>
    <xf numFmtId="4" fontId="5" fillId="0" borderId="12" xfId="0" applyNumberFormat="1" applyFont="1" applyBorder="1" applyAlignment="1">
      <alignment horizontal="left" vertical="top"/>
    </xf>
    <xf numFmtId="4" fontId="6" fillId="0" borderId="18" xfId="0" applyNumberFormat="1" applyFont="1" applyBorder="1" applyAlignment="1">
      <alignment horizontal="left" vertical="top"/>
    </xf>
    <xf numFmtId="4" fontId="6" fillId="0" borderId="11" xfId="0" applyNumberFormat="1" applyFont="1" applyBorder="1" applyAlignment="1">
      <alignment horizontal="left" vertical="top"/>
    </xf>
    <xf numFmtId="4" fontId="5" fillId="0" borderId="11" xfId="0" applyNumberFormat="1" applyFont="1" applyBorder="1" applyAlignment="1">
      <alignment horizontal="left" vertical="top"/>
    </xf>
    <xf numFmtId="4" fontId="5" fillId="0" borderId="5" xfId="0" applyNumberFormat="1" applyFont="1" applyBorder="1" applyAlignment="1">
      <alignment horizontal="left" vertical="top"/>
    </xf>
    <xf numFmtId="4" fontId="0" fillId="0" borderId="22" xfId="0" applyNumberFormat="1" applyBorder="1" applyAlignment="1">
      <alignment horizontal="left" vertical="top"/>
    </xf>
    <xf numFmtId="4" fontId="1" fillId="0" borderId="2" xfId="0" applyNumberFormat="1" applyFont="1" applyBorder="1" applyAlignment="1">
      <alignment horizontal="left" vertical="top"/>
    </xf>
    <xf numFmtId="4" fontId="1" fillId="0" borderId="3" xfId="0" applyNumberFormat="1" applyFont="1" applyBorder="1" applyAlignment="1">
      <alignment horizontal="left" vertical="top"/>
    </xf>
    <xf numFmtId="4" fontId="1" fillId="0" borderId="3" xfId="0" applyNumberFormat="1" applyFont="1" applyBorder="1" applyAlignment="1">
      <alignment horizontal="left" vertical="top" wrapText="1"/>
    </xf>
    <xf numFmtId="4" fontId="1" fillId="0" borderId="4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/>
    </xf>
    <xf numFmtId="4" fontId="0" fillId="3" borderId="6" xfId="0" applyNumberFormat="1" applyFill="1" applyBorder="1" applyAlignment="1">
      <alignment horizontal="left" vertical="top"/>
    </xf>
    <xf numFmtId="4" fontId="0" fillId="3" borderId="7" xfId="0" applyNumberFormat="1" applyFill="1" applyBorder="1" applyAlignment="1">
      <alignment horizontal="left" vertical="top"/>
    </xf>
    <xf numFmtId="4" fontId="0" fillId="3" borderId="21" xfId="0" applyNumberFormat="1" applyFill="1" applyBorder="1" applyAlignment="1">
      <alignment horizontal="left" vertical="top"/>
    </xf>
    <xf numFmtId="4" fontId="0" fillId="3" borderId="0" xfId="0" applyNumberFormat="1" applyFill="1" applyAlignment="1">
      <alignment horizontal="left" vertical="top"/>
    </xf>
    <xf numFmtId="4" fontId="0" fillId="3" borderId="22" xfId="0" applyNumberFormat="1" applyFill="1" applyBorder="1" applyAlignment="1">
      <alignment horizontal="left" vertical="top"/>
    </xf>
    <xf numFmtId="4" fontId="0" fillId="3" borderId="23" xfId="0" applyNumberFormat="1" applyFill="1" applyBorder="1" applyAlignment="1">
      <alignment horizontal="left" vertical="top"/>
    </xf>
    <xf numFmtId="4" fontId="0" fillId="3" borderId="24" xfId="0" applyNumberFormat="1" applyFill="1" applyBorder="1" applyAlignment="1">
      <alignment horizontal="left" vertical="top"/>
    </xf>
    <xf numFmtId="4" fontId="7" fillId="3" borderId="25" xfId="0" applyNumberFormat="1" applyFont="1" applyFill="1" applyBorder="1" applyAlignment="1">
      <alignment horizontal="left" vertical="top"/>
    </xf>
    <xf numFmtId="4" fontId="10" fillId="0" borderId="11" xfId="0" applyNumberFormat="1" applyFont="1" applyBorder="1" applyAlignment="1">
      <alignment horizontal="left" vertical="top"/>
    </xf>
    <xf numFmtId="4" fontId="5" fillId="0" borderId="10" xfId="0" applyNumberFormat="1" applyFont="1" applyBorder="1" applyAlignment="1">
      <alignment horizontal="left" vertical="top"/>
    </xf>
    <xf numFmtId="4" fontId="0" fillId="3" borderId="28" xfId="0" applyNumberFormat="1" applyFill="1" applyBorder="1" applyAlignment="1">
      <alignment horizontal="left" vertical="top"/>
    </xf>
    <xf numFmtId="4" fontId="2" fillId="0" borderId="13" xfId="0" applyNumberFormat="1" applyFont="1" applyBorder="1" applyAlignment="1">
      <alignment horizontal="left" vertical="top"/>
    </xf>
    <xf numFmtId="4" fontId="0" fillId="3" borderId="8" xfId="0" applyNumberFormat="1" applyFill="1" applyBorder="1" applyAlignment="1">
      <alignment horizontal="left" vertical="top"/>
    </xf>
    <xf numFmtId="4" fontId="1" fillId="0" borderId="8" xfId="0" applyNumberFormat="1" applyFont="1" applyBorder="1" applyAlignment="1">
      <alignment horizontal="left" vertical="top"/>
    </xf>
    <xf numFmtId="4" fontId="3" fillId="0" borderId="8" xfId="0" applyNumberFormat="1" applyFont="1" applyBorder="1" applyAlignment="1">
      <alignment horizontal="left" vertical="top"/>
    </xf>
    <xf numFmtId="4" fontId="3" fillId="0" borderId="26" xfId="0" applyNumberFormat="1" applyFont="1" applyBorder="1" applyAlignment="1">
      <alignment horizontal="left" vertical="top"/>
    </xf>
    <xf numFmtId="4" fontId="2" fillId="3" borderId="27" xfId="0" applyNumberFormat="1" applyFont="1" applyFill="1" applyBorder="1" applyAlignment="1">
      <alignment horizontal="left" vertical="top"/>
    </xf>
    <xf numFmtId="4" fontId="3" fillId="0" borderId="27" xfId="0" applyNumberFormat="1" applyFont="1" applyBorder="1" applyAlignment="1">
      <alignment horizontal="left" vertical="top"/>
    </xf>
    <xf numFmtId="4" fontId="3" fillId="0" borderId="31" xfId="0" applyNumberFormat="1" applyFont="1" applyBorder="1" applyAlignment="1">
      <alignment horizontal="left" vertical="top"/>
    </xf>
    <xf numFmtId="4" fontId="3" fillId="0" borderId="32" xfId="0" applyNumberFormat="1" applyFont="1" applyBorder="1" applyAlignment="1">
      <alignment horizontal="left" vertical="top"/>
    </xf>
    <xf numFmtId="4" fontId="3" fillId="0" borderId="29" xfId="0" applyNumberFormat="1" applyFont="1" applyBorder="1" applyAlignment="1">
      <alignment horizontal="left" vertical="top"/>
    </xf>
    <xf numFmtId="4" fontId="8" fillId="4" borderId="9" xfId="0" applyNumberFormat="1" applyFont="1" applyFill="1" applyBorder="1" applyAlignment="1">
      <alignment horizontal="left" vertical="top"/>
    </xf>
    <xf numFmtId="4" fontId="8" fillId="4" borderId="10" xfId="0" applyNumberFormat="1" applyFont="1" applyFill="1" applyBorder="1" applyAlignment="1">
      <alignment horizontal="left" vertical="top"/>
    </xf>
    <xf numFmtId="4" fontId="8" fillId="4" borderId="30" xfId="0" applyNumberFormat="1" applyFont="1" applyFill="1" applyBorder="1" applyAlignment="1">
      <alignment horizontal="left" vertical="top"/>
    </xf>
    <xf numFmtId="4" fontId="2" fillId="0" borderId="10" xfId="0" applyNumberFormat="1" applyFont="1" applyBorder="1" applyAlignment="1">
      <alignment horizontal="left" vertical="top"/>
    </xf>
    <xf numFmtId="4" fontId="9" fillId="2" borderId="30" xfId="0" applyNumberFormat="1" applyFont="1" applyFill="1" applyBorder="1" applyAlignment="1">
      <alignment horizontal="left" vertical="top"/>
    </xf>
    <xf numFmtId="4" fontId="10" fillId="0" borderId="22" xfId="0" applyNumberFormat="1" applyFont="1" applyBorder="1" applyAlignment="1">
      <alignment horizontal="left" vertical="top"/>
    </xf>
    <xf numFmtId="4" fontId="8" fillId="2" borderId="25" xfId="0" applyNumberFormat="1" applyFont="1" applyFill="1" applyBorder="1" applyAlignment="1">
      <alignment horizontal="left" vertical="top"/>
    </xf>
    <xf numFmtId="4" fontId="0" fillId="3" borderId="33" xfId="0" applyNumberFormat="1" applyFill="1" applyBorder="1" applyAlignment="1">
      <alignment horizontal="left" vertical="top"/>
    </xf>
    <xf numFmtId="4" fontId="5" fillId="3" borderId="34" xfId="0" applyNumberFormat="1" applyFont="1" applyFill="1" applyBorder="1" applyAlignment="1">
      <alignment horizontal="left" vertical="top"/>
    </xf>
    <xf numFmtId="4" fontId="1" fillId="0" borderId="22" xfId="0" applyNumberFormat="1" applyFont="1" applyBorder="1" applyAlignment="1">
      <alignment horizontal="left" vertical="top"/>
    </xf>
    <xf numFmtId="4" fontId="7" fillId="0" borderId="0" xfId="0" applyNumberFormat="1" applyFont="1" applyAlignment="1">
      <alignment horizontal="left" vertical="top"/>
    </xf>
    <xf numFmtId="4" fontId="6" fillId="0" borderId="5" xfId="0" applyNumberFormat="1" applyFont="1" applyBorder="1" applyAlignment="1">
      <alignment horizontal="left" vertical="top"/>
    </xf>
    <xf numFmtId="4" fontId="2" fillId="0" borderId="22" xfId="0" applyNumberFormat="1" applyFont="1" applyBorder="1" applyAlignment="1">
      <alignment horizontal="left" vertical="top"/>
    </xf>
    <xf numFmtId="4" fontId="3" fillId="0" borderId="35" xfId="0" applyNumberFormat="1" applyFont="1" applyBorder="1" applyAlignment="1">
      <alignment horizontal="left" vertical="top"/>
    </xf>
    <xf numFmtId="4" fontId="11" fillId="0" borderId="0" xfId="0" applyNumberFormat="1" applyFont="1" applyAlignment="1">
      <alignment horizontal="left" vertical="top"/>
    </xf>
    <xf numFmtId="4" fontId="6" fillId="6" borderId="5" xfId="0" applyNumberFormat="1" applyFont="1" applyFill="1" applyBorder="1" applyAlignment="1">
      <alignment horizontal="left" vertical="top"/>
    </xf>
    <xf numFmtId="4" fontId="0" fillId="6" borderId="5" xfId="0" applyNumberFormat="1" applyFill="1" applyBorder="1" applyAlignment="1">
      <alignment horizontal="left" vertical="top"/>
    </xf>
    <xf numFmtId="4" fontId="4" fillId="6" borderId="5" xfId="0" applyNumberFormat="1" applyFont="1" applyFill="1" applyBorder="1" applyAlignment="1">
      <alignment horizontal="left" vertical="top"/>
    </xf>
    <xf numFmtId="4" fontId="2" fillId="6" borderId="5" xfId="0" applyNumberFormat="1" applyFont="1" applyFill="1" applyBorder="1" applyAlignment="1">
      <alignment horizontal="left" vertical="top"/>
    </xf>
    <xf numFmtId="4" fontId="2" fillId="5" borderId="0" xfId="0" applyNumberFormat="1" applyFont="1" applyFill="1" applyAlignment="1">
      <alignment horizontal="left" vertical="top"/>
    </xf>
    <xf numFmtId="4" fontId="8" fillId="4" borderId="5" xfId="0" applyNumberFormat="1" applyFont="1" applyFill="1" applyBorder="1" applyAlignment="1">
      <alignment horizontal="left" vertical="top"/>
    </xf>
    <xf numFmtId="4" fontId="3" fillId="0" borderId="5" xfId="0" applyNumberFormat="1" applyFont="1" applyBorder="1" applyAlignment="1">
      <alignment horizontal="left" vertical="top"/>
    </xf>
    <xf numFmtId="4" fontId="5" fillId="6" borderId="5" xfId="0" applyNumberFormat="1" applyFont="1" applyFill="1" applyBorder="1" applyAlignment="1">
      <alignment horizontal="left" vertical="top"/>
    </xf>
    <xf numFmtId="4" fontId="8" fillId="6" borderId="5" xfId="0" applyNumberFormat="1" applyFont="1" applyFill="1" applyBorder="1" applyAlignment="1">
      <alignment horizontal="left" vertical="top"/>
    </xf>
    <xf numFmtId="4" fontId="3" fillId="6" borderId="5" xfId="0" applyNumberFormat="1" applyFont="1" applyFill="1" applyBorder="1" applyAlignment="1">
      <alignment horizontal="left" vertical="top"/>
    </xf>
    <xf numFmtId="4" fontId="1" fillId="0" borderId="6" xfId="0" applyNumberFormat="1" applyFont="1" applyBorder="1" applyAlignment="1">
      <alignment horizontal="left" vertical="top"/>
    </xf>
    <xf numFmtId="4" fontId="1" fillId="0" borderId="7" xfId="0" applyNumberFormat="1" applyFont="1" applyBorder="1" applyAlignment="1">
      <alignment horizontal="left" vertical="top"/>
    </xf>
    <xf numFmtId="4" fontId="1" fillId="0" borderId="7" xfId="0" applyNumberFormat="1" applyFont="1" applyBorder="1" applyAlignment="1">
      <alignment horizontal="left" vertical="top" wrapText="1"/>
    </xf>
    <xf numFmtId="4" fontId="1" fillId="0" borderId="3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97BB-30B3-4DAA-92D6-ECB671A93A62}">
  <dimension ref="B1:I47"/>
  <sheetViews>
    <sheetView tabSelected="1" zoomScale="90" zoomScaleNormal="90" workbookViewId="0">
      <selection activeCell="D4" sqref="D4"/>
    </sheetView>
  </sheetViews>
  <sheetFormatPr defaultRowHeight="14.5" x14ac:dyDescent="0.35"/>
  <cols>
    <col min="1" max="1" width="9.6328125" style="1" customWidth="1"/>
    <col min="2" max="2" width="13.1796875" style="1" customWidth="1"/>
    <col min="3" max="3" width="10.54296875" style="1" customWidth="1"/>
    <col min="4" max="4" width="20.08984375" style="1" customWidth="1"/>
    <col min="5" max="5" width="11.453125" style="1" customWidth="1"/>
    <col min="6" max="6" width="12.7265625" style="1" customWidth="1"/>
    <col min="7" max="7" width="14.36328125" style="1" customWidth="1"/>
    <col min="8" max="8" width="18" style="1" customWidth="1"/>
    <col min="9" max="9" width="16" style="1" customWidth="1"/>
    <col min="10" max="16384" width="8.7265625" style="1"/>
  </cols>
  <sheetData>
    <row r="1" spans="2:9" ht="21.5" customHeight="1" thickBot="1" x14ac:dyDescent="0.4"/>
    <row r="2" spans="2:9" ht="29.5" thickBot="1" x14ac:dyDescent="0.4">
      <c r="B2" s="21" t="s">
        <v>1</v>
      </c>
      <c r="C2" s="22" t="s">
        <v>2</v>
      </c>
      <c r="D2" s="23" t="s">
        <v>12</v>
      </c>
      <c r="E2" s="22" t="s">
        <v>3</v>
      </c>
      <c r="F2" s="21" t="s">
        <v>9</v>
      </c>
      <c r="G2" s="24" t="s">
        <v>11</v>
      </c>
      <c r="H2" s="25" t="s">
        <v>10</v>
      </c>
      <c r="I2" s="25" t="s">
        <v>13</v>
      </c>
    </row>
    <row r="3" spans="2:9" x14ac:dyDescent="0.35">
      <c r="B3" s="16" t="s">
        <v>0</v>
      </c>
      <c r="C3" s="9">
        <v>332</v>
      </c>
      <c r="D3" s="12">
        <v>230</v>
      </c>
      <c r="E3" s="14">
        <f>C3*D3</f>
        <v>76360</v>
      </c>
      <c r="F3" s="6">
        <v>135</v>
      </c>
      <c r="G3" s="47">
        <f>D3-F3</f>
        <v>95</v>
      </c>
      <c r="H3" s="44">
        <f>G3*C3</f>
        <v>31540</v>
      </c>
      <c r="I3" s="56"/>
    </row>
    <row r="4" spans="2:9" x14ac:dyDescent="0.35">
      <c r="B4" s="17" t="s">
        <v>4</v>
      </c>
      <c r="C4" s="2">
        <v>50</v>
      </c>
      <c r="D4" s="13">
        <v>633</v>
      </c>
      <c r="E4" s="15">
        <f>C4*D4</f>
        <v>31650</v>
      </c>
      <c r="F4" s="7">
        <v>434</v>
      </c>
      <c r="G4" s="48">
        <f>D4-F4</f>
        <v>199</v>
      </c>
      <c r="H4" s="45">
        <f>G4*C4</f>
        <v>9950</v>
      </c>
      <c r="I4" s="60">
        <f>E4</f>
        <v>31650</v>
      </c>
    </row>
    <row r="5" spans="2:9" ht="15" thickBot="1" x14ac:dyDescent="0.4">
      <c r="B5" s="17" t="s">
        <v>5</v>
      </c>
      <c r="C5" s="2">
        <v>108</v>
      </c>
      <c r="D5" s="13">
        <v>339</v>
      </c>
      <c r="E5" s="15">
        <f>C5*D5</f>
        <v>36612</v>
      </c>
      <c r="F5" s="8">
        <v>254</v>
      </c>
      <c r="G5" s="49">
        <f>D5-F5</f>
        <v>85</v>
      </c>
      <c r="H5" s="46">
        <f>G5*C5</f>
        <v>9180</v>
      </c>
      <c r="I5" s="20"/>
    </row>
    <row r="6" spans="2:9" x14ac:dyDescent="0.35">
      <c r="B6" s="4"/>
      <c r="C6" s="2"/>
      <c r="D6" s="2"/>
      <c r="E6" s="3"/>
      <c r="F6" s="26"/>
      <c r="G6" s="27"/>
      <c r="H6" s="38"/>
      <c r="I6" s="20"/>
    </row>
    <row r="7" spans="2:9" ht="15" thickBot="1" x14ac:dyDescent="0.4">
      <c r="B7" s="10" t="s">
        <v>6</v>
      </c>
      <c r="C7" s="2"/>
      <c r="D7" s="2"/>
      <c r="E7" s="50">
        <v>63000</v>
      </c>
      <c r="F7" s="54"/>
      <c r="G7" s="36"/>
      <c r="H7" s="42">
        <f>H3+H4+H5</f>
        <v>50670</v>
      </c>
      <c r="I7" s="20"/>
    </row>
    <row r="8" spans="2:9" x14ac:dyDescent="0.35">
      <c r="B8" s="4"/>
      <c r="C8" s="2"/>
      <c r="E8" s="3"/>
      <c r="F8" s="28"/>
      <c r="G8" s="29"/>
      <c r="H8" s="30"/>
      <c r="I8" s="20"/>
    </row>
    <row r="9" spans="2:9" x14ac:dyDescent="0.35">
      <c r="B9" s="11" t="s">
        <v>7</v>
      </c>
      <c r="C9" s="2"/>
      <c r="D9" s="2"/>
      <c r="E9" s="50">
        <f>E3+E4+E5+E7</f>
        <v>207622</v>
      </c>
      <c r="F9" s="28"/>
      <c r="G9" s="29"/>
      <c r="H9" s="30"/>
      <c r="I9" s="20"/>
    </row>
    <row r="10" spans="2:9" x14ac:dyDescent="0.35">
      <c r="B10" s="34" t="s">
        <v>14</v>
      </c>
      <c r="C10" s="2"/>
      <c r="D10" s="2"/>
      <c r="E10" s="3"/>
      <c r="F10" s="28"/>
      <c r="G10" s="29"/>
      <c r="H10" s="30"/>
      <c r="I10" s="52"/>
    </row>
    <row r="11" spans="2:9" x14ac:dyDescent="0.35">
      <c r="B11" s="18" t="s">
        <v>8</v>
      </c>
      <c r="C11" s="19">
        <v>66000</v>
      </c>
      <c r="D11" s="19">
        <v>102000</v>
      </c>
      <c r="E11" s="35">
        <v>54000</v>
      </c>
      <c r="F11" s="54">
        <v>87000</v>
      </c>
      <c r="G11" s="36"/>
      <c r="H11" s="55">
        <f>D11-C11</f>
        <v>36000</v>
      </c>
      <c r="I11" s="59">
        <f>F11-E11</f>
        <v>33000</v>
      </c>
    </row>
    <row r="12" spans="2:9" x14ac:dyDescent="0.35">
      <c r="B12" s="4"/>
      <c r="C12" s="2"/>
      <c r="D12" s="2"/>
      <c r="E12" s="3"/>
      <c r="F12" s="28"/>
      <c r="G12" s="29"/>
      <c r="H12" s="30"/>
      <c r="I12" s="20"/>
    </row>
    <row r="13" spans="2:9" ht="15" thickBot="1" x14ac:dyDescent="0.4">
      <c r="B13" s="37" t="s">
        <v>7</v>
      </c>
      <c r="C13" s="5"/>
      <c r="D13" s="5"/>
      <c r="E13" s="51">
        <f>E9+E11</f>
        <v>261622</v>
      </c>
      <c r="F13" s="31"/>
      <c r="G13" s="32"/>
      <c r="H13" s="33">
        <f>H7+H11</f>
        <v>86670</v>
      </c>
      <c r="I13" s="53">
        <f>I4+I11+I10</f>
        <v>64650</v>
      </c>
    </row>
    <row r="15" spans="2:9" ht="15" thickBot="1" x14ac:dyDescent="0.4"/>
    <row r="16" spans="2:9" ht="29.5" thickBot="1" x14ac:dyDescent="0.4">
      <c r="B16" s="21" t="s">
        <v>1</v>
      </c>
      <c r="C16" s="22" t="s">
        <v>2</v>
      </c>
      <c r="D16" s="23" t="s">
        <v>12</v>
      </c>
      <c r="E16" s="22" t="s">
        <v>3</v>
      </c>
      <c r="F16" s="21" t="s">
        <v>9</v>
      </c>
      <c r="G16" s="24" t="s">
        <v>11</v>
      </c>
      <c r="H16" s="39" t="s">
        <v>10</v>
      </c>
      <c r="I16" s="25" t="s">
        <v>13</v>
      </c>
    </row>
    <row r="17" spans="2:9" x14ac:dyDescent="0.35">
      <c r="B17" s="16" t="s">
        <v>0</v>
      </c>
      <c r="C17" s="9">
        <v>332</v>
      </c>
      <c r="D17" s="12">
        <v>235</v>
      </c>
      <c r="E17" s="14">
        <f>C17*D17</f>
        <v>78020</v>
      </c>
      <c r="F17" s="6">
        <v>135</v>
      </c>
      <c r="G17" s="47">
        <f>D17-F17</f>
        <v>100</v>
      </c>
      <c r="H17" s="40">
        <f>G17*C17</f>
        <v>33200</v>
      </c>
      <c r="I17" s="20"/>
    </row>
    <row r="18" spans="2:9" x14ac:dyDescent="0.35">
      <c r="B18" s="17" t="s">
        <v>4</v>
      </c>
      <c r="C18" s="2">
        <v>50</v>
      </c>
      <c r="D18" s="13">
        <v>633</v>
      </c>
      <c r="E18" s="15">
        <f>C18*D18</f>
        <v>31650</v>
      </c>
      <c r="F18" s="7">
        <v>434</v>
      </c>
      <c r="G18" s="48">
        <f>D18-F18</f>
        <v>199</v>
      </c>
      <c r="H18" s="41">
        <f>G18*C18</f>
        <v>9950</v>
      </c>
      <c r="I18" s="20">
        <f>E18</f>
        <v>31650</v>
      </c>
    </row>
    <row r="19" spans="2:9" ht="15" thickBot="1" x14ac:dyDescent="0.4">
      <c r="B19" s="17" t="s">
        <v>5</v>
      </c>
      <c r="C19" s="2">
        <v>108</v>
      </c>
      <c r="D19" s="13">
        <v>339</v>
      </c>
      <c r="E19" s="15">
        <f>C19*D19</f>
        <v>36612</v>
      </c>
      <c r="F19" s="8">
        <v>254</v>
      </c>
      <c r="G19" s="49">
        <f>D19-F19</f>
        <v>85</v>
      </c>
      <c r="H19" s="43">
        <f>G19*C19</f>
        <v>9180</v>
      </c>
      <c r="I19" s="20"/>
    </row>
    <row r="20" spans="2:9" x14ac:dyDescent="0.35">
      <c r="B20" s="4"/>
      <c r="C20" s="2"/>
      <c r="D20" s="2"/>
      <c r="E20" s="3"/>
      <c r="F20" s="26"/>
      <c r="G20" s="27"/>
      <c r="H20" s="38"/>
      <c r="I20" s="20"/>
    </row>
    <row r="21" spans="2:9" ht="15" thickBot="1" x14ac:dyDescent="0.4">
      <c r="B21" s="10" t="s">
        <v>6</v>
      </c>
      <c r="C21" s="2"/>
      <c r="D21" s="2"/>
      <c r="E21" s="50">
        <v>63000</v>
      </c>
      <c r="F21" s="54"/>
      <c r="G21" s="36"/>
      <c r="H21" s="42">
        <f>H17+H18+H19</f>
        <v>52330</v>
      </c>
      <c r="I21" s="20"/>
    </row>
    <row r="22" spans="2:9" x14ac:dyDescent="0.35">
      <c r="B22" s="4"/>
      <c r="C22" s="2"/>
      <c r="D22" s="2"/>
      <c r="E22" s="3"/>
      <c r="F22" s="28"/>
      <c r="G22" s="29"/>
      <c r="H22" s="30"/>
      <c r="I22" s="20"/>
    </row>
    <row r="23" spans="2:9" x14ac:dyDescent="0.35">
      <c r="B23" s="11" t="s">
        <v>7</v>
      </c>
      <c r="C23" s="2"/>
      <c r="D23" s="2"/>
      <c r="E23" s="50">
        <f>E17+E18+E19+E21</f>
        <v>209282</v>
      </c>
      <c r="F23" s="28"/>
      <c r="G23" s="29"/>
      <c r="H23" s="30"/>
      <c r="I23" s="20"/>
    </row>
    <row r="24" spans="2:9" x14ac:dyDescent="0.35">
      <c r="B24" s="34" t="s">
        <v>14</v>
      </c>
      <c r="C24" s="2"/>
      <c r="D24" s="2"/>
      <c r="E24" s="3"/>
      <c r="F24" s="28"/>
      <c r="G24" s="29"/>
      <c r="H24" s="30"/>
      <c r="I24" s="52">
        <v>45000</v>
      </c>
    </row>
    <row r="25" spans="2:9" x14ac:dyDescent="0.35">
      <c r="B25" s="18" t="s">
        <v>8</v>
      </c>
      <c r="C25" s="19">
        <v>66000</v>
      </c>
      <c r="D25" s="19">
        <v>102000</v>
      </c>
      <c r="E25" s="35">
        <v>54000</v>
      </c>
      <c r="F25" s="54">
        <v>87000</v>
      </c>
      <c r="G25" s="36"/>
      <c r="H25" s="55">
        <f>D25-C25</f>
        <v>36000</v>
      </c>
      <c r="I25" s="59">
        <f>F25-E25</f>
        <v>33000</v>
      </c>
    </row>
    <row r="26" spans="2:9" x14ac:dyDescent="0.35">
      <c r="B26" s="4"/>
      <c r="C26" s="2"/>
      <c r="D26" s="2"/>
      <c r="E26" s="3"/>
      <c r="F26" s="28"/>
      <c r="G26" s="29"/>
      <c r="H26" s="30"/>
      <c r="I26" s="20"/>
    </row>
    <row r="27" spans="2:9" ht="15" thickBot="1" x14ac:dyDescent="0.4">
      <c r="B27" s="37" t="s">
        <v>7</v>
      </c>
      <c r="C27" s="5"/>
      <c r="D27" s="5"/>
      <c r="E27" s="51">
        <f>E23+E25</f>
        <v>263282</v>
      </c>
      <c r="F27" s="31"/>
      <c r="G27" s="32"/>
      <c r="H27" s="33">
        <f>H21+H25</f>
        <v>88330</v>
      </c>
      <c r="I27" s="53">
        <f>I18+I25+I24</f>
        <v>109650</v>
      </c>
    </row>
    <row r="29" spans="2:9" x14ac:dyDescent="0.35">
      <c r="E29" s="66">
        <f>E27-E13</f>
        <v>1660</v>
      </c>
    </row>
    <row r="33" spans="2:8" x14ac:dyDescent="0.35">
      <c r="B33" s="1" t="s">
        <v>16</v>
      </c>
      <c r="C33" s="1">
        <v>1150</v>
      </c>
      <c r="D33" s="1">
        <v>96.98</v>
      </c>
      <c r="E33" s="57">
        <f>C33*D33</f>
        <v>111527</v>
      </c>
    </row>
    <row r="34" spans="2:8" x14ac:dyDescent="0.35">
      <c r="B34" s="1" t="s">
        <v>15</v>
      </c>
      <c r="C34" s="1">
        <v>1078.6500000000001</v>
      </c>
      <c r="D34" s="1">
        <v>65.56</v>
      </c>
      <c r="E34" s="57">
        <f>C34*D34</f>
        <v>70716.294000000009</v>
      </c>
    </row>
    <row r="35" spans="2:8" x14ac:dyDescent="0.35">
      <c r="B35" s="1" t="s">
        <v>17</v>
      </c>
      <c r="C35" s="1">
        <v>1178.68</v>
      </c>
      <c r="D35" s="1">
        <v>65.680000000000007</v>
      </c>
      <c r="E35" s="57">
        <f>C35*D35</f>
        <v>77415.702400000009</v>
      </c>
      <c r="G35" s="61">
        <v>100000</v>
      </c>
    </row>
    <row r="37" spans="2:8" x14ac:dyDescent="0.35">
      <c r="E37" s="66">
        <f>E33+E34+E35</f>
        <v>259658.9964</v>
      </c>
    </row>
    <row r="40" spans="2:8" ht="15" thickBot="1" x14ac:dyDescent="0.4"/>
    <row r="41" spans="2:8" ht="29" x14ac:dyDescent="0.35">
      <c r="B41" s="72" t="s">
        <v>1</v>
      </c>
      <c r="C41" s="73" t="s">
        <v>2</v>
      </c>
      <c r="D41" s="74" t="s">
        <v>12</v>
      </c>
      <c r="E41" s="73" t="s">
        <v>3</v>
      </c>
      <c r="F41" s="72" t="s">
        <v>9</v>
      </c>
      <c r="G41" s="75" t="s">
        <v>11</v>
      </c>
      <c r="H41" s="39" t="s">
        <v>10</v>
      </c>
    </row>
    <row r="42" spans="2:8" x14ac:dyDescent="0.35">
      <c r="B42" s="62" t="s">
        <v>0</v>
      </c>
      <c r="C42" s="65">
        <v>42</v>
      </c>
      <c r="D42" s="64">
        <v>235</v>
      </c>
      <c r="E42" s="69">
        <f t="shared" ref="E42:E47" si="0">C42*D42</f>
        <v>9870</v>
      </c>
      <c r="F42" s="63">
        <v>135</v>
      </c>
      <c r="G42" s="70">
        <f t="shared" ref="G42:G47" si="1">D42-F42</f>
        <v>100</v>
      </c>
      <c r="H42" s="71">
        <f t="shared" ref="H42:H47" si="2">G42*C42</f>
        <v>4200</v>
      </c>
    </row>
    <row r="43" spans="2:8" x14ac:dyDescent="0.35">
      <c r="B43" s="58" t="s">
        <v>0</v>
      </c>
      <c r="C43" s="2">
        <v>100</v>
      </c>
      <c r="D43" s="13">
        <v>230</v>
      </c>
      <c r="E43" s="19">
        <f t="shared" si="0"/>
        <v>23000</v>
      </c>
      <c r="F43" s="2">
        <v>135</v>
      </c>
      <c r="G43" s="67">
        <f t="shared" si="1"/>
        <v>95</v>
      </c>
      <c r="H43" s="68">
        <f t="shared" si="2"/>
        <v>9500</v>
      </c>
    </row>
    <row r="44" spans="2:8" x14ac:dyDescent="0.35">
      <c r="B44" s="58" t="s">
        <v>0</v>
      </c>
      <c r="C44" s="2">
        <v>100</v>
      </c>
      <c r="D44" s="13">
        <v>235</v>
      </c>
      <c r="E44" s="19">
        <f t="shared" si="0"/>
        <v>23500</v>
      </c>
      <c r="F44" s="2">
        <v>135</v>
      </c>
      <c r="G44" s="67">
        <f t="shared" si="1"/>
        <v>100</v>
      </c>
      <c r="H44" s="68">
        <f t="shared" si="2"/>
        <v>10000</v>
      </c>
    </row>
    <row r="45" spans="2:8" x14ac:dyDescent="0.35">
      <c r="B45" s="58" t="s">
        <v>0</v>
      </c>
      <c r="C45" s="2">
        <v>102</v>
      </c>
      <c r="D45" s="13">
        <v>240</v>
      </c>
      <c r="E45" s="19">
        <f t="shared" si="0"/>
        <v>24480</v>
      </c>
      <c r="F45" s="2">
        <v>135</v>
      </c>
      <c r="G45" s="67">
        <f t="shared" si="1"/>
        <v>105</v>
      </c>
      <c r="H45" s="68">
        <f t="shared" si="2"/>
        <v>10710</v>
      </c>
    </row>
    <row r="46" spans="2:8" x14ac:dyDescent="0.35">
      <c r="B46" s="62" t="s">
        <v>4</v>
      </c>
      <c r="C46" s="63">
        <v>50</v>
      </c>
      <c r="D46" s="64">
        <v>633</v>
      </c>
      <c r="E46" s="69">
        <f t="shared" si="0"/>
        <v>31650</v>
      </c>
      <c r="F46" s="63">
        <v>434</v>
      </c>
      <c r="G46" s="70">
        <f t="shared" si="1"/>
        <v>199</v>
      </c>
      <c r="H46" s="71">
        <f t="shared" si="2"/>
        <v>9950</v>
      </c>
    </row>
    <row r="47" spans="2:8" x14ac:dyDescent="0.35">
      <c r="B47" s="62" t="s">
        <v>5</v>
      </c>
      <c r="C47" s="65">
        <v>108</v>
      </c>
      <c r="D47" s="64">
        <v>339</v>
      </c>
      <c r="E47" s="69">
        <f t="shared" si="0"/>
        <v>36612</v>
      </c>
      <c r="F47" s="63">
        <v>254</v>
      </c>
      <c r="G47" s="70">
        <f t="shared" si="1"/>
        <v>85</v>
      </c>
      <c r="H47" s="71">
        <f t="shared" si="2"/>
        <v>9180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Altynay Kuchkacheva</dc:creator>
  <cp:lastModifiedBy>Altynay Kuchkacheva</cp:lastModifiedBy>
  <dcterms:created xsi:type="dcterms:W3CDTF">2025-11-24T14:19:51Z</dcterms:created>
  <dcterms:modified xsi:type="dcterms:W3CDTF">2025-12-20T15:03:52Z</dcterms:modified>
</cp:coreProperties>
</file>